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Users\Melodic\Desktop\purchase\"/>
    </mc:Choice>
  </mc:AlternateContent>
  <xr:revisionPtr revIDLastSave="0" documentId="13_ncr:1_{CE95B37B-AD09-44B7-84B9-BDEA14688CA7}" xr6:coauthVersionLast="47" xr6:coauthVersionMax="47" xr10:uidLastSave="{00000000-0000-0000-0000-000000000000}"/>
  <bookViews>
    <workbookView xWindow="14910" yWindow="7120" windowWidth="28800" windowHeight="1537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5" i="1" l="1"/>
  <c r="F12" i="1"/>
  <c r="F11" i="1"/>
  <c r="F9" i="1"/>
  <c r="F7" i="1"/>
  <c r="F21" i="1" s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</calcChain>
</file>

<file path=xl/sharedStrings.xml><?xml version="1.0" encoding="utf-8"?>
<sst xmlns="http://schemas.openxmlformats.org/spreadsheetml/2006/main" count="24" uniqueCount="24">
  <si>
    <t>汪洁步道项目经济型分析</t>
    <phoneticPr fontId="1" type="noConversion"/>
  </si>
  <si>
    <t>序号</t>
    <phoneticPr fontId="1" type="noConversion"/>
  </si>
  <si>
    <t>物品名称</t>
    <phoneticPr fontId="1" type="noConversion"/>
  </si>
  <si>
    <t>数量</t>
    <phoneticPr fontId="1" type="noConversion"/>
  </si>
  <si>
    <t>单价</t>
    <phoneticPr fontId="1" type="noConversion"/>
  </si>
  <si>
    <t>总价</t>
    <phoneticPr fontId="1" type="noConversion"/>
  </si>
  <si>
    <t>宠物笼</t>
    <phoneticPr fontId="1" type="noConversion"/>
  </si>
  <si>
    <t>清洁剂</t>
  </si>
  <si>
    <t>可塑胶泥</t>
    <phoneticPr fontId="1" type="noConversion"/>
  </si>
  <si>
    <t>水接头</t>
    <phoneticPr fontId="1" type="noConversion"/>
  </si>
  <si>
    <t>出水口</t>
    <phoneticPr fontId="1" type="noConversion"/>
  </si>
  <si>
    <t>扎线带</t>
    <phoneticPr fontId="1" type="noConversion"/>
  </si>
  <si>
    <t>交流永磁同步电机220v</t>
    <phoneticPr fontId="1" type="noConversion"/>
  </si>
  <si>
    <t>502胶水</t>
    <phoneticPr fontId="1" type="noConversion"/>
  </si>
  <si>
    <t>吹风机</t>
    <phoneticPr fontId="1" type="noConversion"/>
  </si>
  <si>
    <t>小米电源</t>
    <phoneticPr fontId="1" type="noConversion"/>
  </si>
  <si>
    <t>3D打印</t>
    <phoneticPr fontId="1" type="noConversion"/>
  </si>
  <si>
    <t>螺丝</t>
    <phoneticPr fontId="1" type="noConversion"/>
  </si>
  <si>
    <t>轴承支架</t>
    <phoneticPr fontId="1" type="noConversion"/>
  </si>
  <si>
    <t>支撑圆棒</t>
    <phoneticPr fontId="1" type="noConversion"/>
  </si>
  <si>
    <t>毛刷</t>
    <phoneticPr fontId="1" type="noConversion"/>
  </si>
  <si>
    <t>防水胶</t>
    <phoneticPr fontId="1" type="noConversion"/>
  </si>
  <si>
    <t>宠物零食</t>
    <phoneticPr fontId="1" type="noConversion"/>
  </si>
  <si>
    <t>总计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</si>
</sst>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1" xfId="0" applyFill="1" applyBorder="1" applyAlignment="1">
      <alignment horizontal="center"/>
    </xf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right"/>
    </xf>
    <xf numFmtId="58" fontId="0" fillId="0" borderId="1" xfId="0" applyNumberFormat="1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1"/>
  <sheetViews>
    <sheetView tabSelected="1" workbookViewId="0">
      <selection activeCell="H7" sqref="H7"/>
    </sheetView>
  </sheetViews>
  <sheetFormatPr defaultRowHeight="14" x14ac:dyDescent="0.3"/>
  <sheetData>
    <row r="1" spans="1:27" s="2" customFormat="1" x14ac:dyDescent="0.3">
      <c r="A1" s="1" t="s">
        <v>0</v>
      </c>
      <c r="B1" s="1"/>
      <c r="C1" s="1"/>
      <c r="D1" s="1"/>
      <c r="E1" s="1"/>
      <c r="F1" s="1"/>
    </row>
    <row r="2" spans="1:27" s="2" customFormat="1" x14ac:dyDescent="0.3">
      <c r="A2" s="3" t="s">
        <v>1</v>
      </c>
      <c r="B2" s="1" t="s">
        <v>2</v>
      </c>
      <c r="C2" s="1"/>
      <c r="D2" s="3" t="s">
        <v>3</v>
      </c>
      <c r="E2" s="3" t="s">
        <v>4</v>
      </c>
      <c r="F2" s="3" t="s">
        <v>5</v>
      </c>
    </row>
    <row r="3" spans="1:27" s="4" customFormat="1" x14ac:dyDescent="0.3">
      <c r="A3" s="4">
        <v>1</v>
      </c>
      <c r="B3" s="5" t="s">
        <v>6</v>
      </c>
      <c r="C3" s="5"/>
      <c r="D3" s="4">
        <v>1</v>
      </c>
      <c r="E3" s="4">
        <v>59.95</v>
      </c>
      <c r="F3" s="4">
        <v>59.95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s="4" customFormat="1" x14ac:dyDescent="0.3">
      <c r="A4" s="4">
        <f>A3+1</f>
        <v>2</v>
      </c>
      <c r="B4" s="5" t="s">
        <v>7</v>
      </c>
      <c r="C4" s="5"/>
      <c r="D4" s="4">
        <v>1</v>
      </c>
      <c r="E4" s="4">
        <v>15.88</v>
      </c>
      <c r="F4" s="4">
        <v>15.88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s="4" customFormat="1" x14ac:dyDescent="0.3">
      <c r="A5" s="4">
        <f t="shared" ref="A5:A19" si="0">A4+1</f>
        <v>3</v>
      </c>
      <c r="B5" s="5" t="s">
        <v>8</v>
      </c>
      <c r="C5" s="5"/>
      <c r="D5" s="4">
        <v>1</v>
      </c>
      <c r="E5" s="4">
        <v>3.75</v>
      </c>
      <c r="F5" s="4">
        <v>3.75</v>
      </c>
      <c r="G5" s="2"/>
      <c r="H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s="4" customFormat="1" x14ac:dyDescent="0.3">
      <c r="A6" s="4">
        <f t="shared" si="0"/>
        <v>4</v>
      </c>
      <c r="B6" s="5" t="s">
        <v>9</v>
      </c>
      <c r="C6" s="5"/>
      <c r="D6" s="4">
        <v>1</v>
      </c>
      <c r="E6" s="4">
        <v>10.41</v>
      </c>
      <c r="F6" s="4">
        <v>10.41</v>
      </c>
      <c r="G6" s="2"/>
      <c r="H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1:27" s="4" customFormat="1" x14ac:dyDescent="0.3">
      <c r="A7" s="4">
        <f t="shared" si="0"/>
        <v>5</v>
      </c>
      <c r="B7" s="5" t="s">
        <v>10</v>
      </c>
      <c r="C7" s="5"/>
      <c r="D7" s="4">
        <v>2</v>
      </c>
      <c r="E7" s="4">
        <v>9.89</v>
      </c>
      <c r="F7" s="4">
        <f>D7*E7</f>
        <v>19.78</v>
      </c>
      <c r="G7" s="2"/>
      <c r="H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1:27" s="4" customFormat="1" x14ac:dyDescent="0.3">
      <c r="A8" s="4">
        <f t="shared" si="0"/>
        <v>6</v>
      </c>
      <c r="B8" s="5" t="s">
        <v>11</v>
      </c>
      <c r="C8" s="5"/>
      <c r="D8" s="4">
        <v>1</v>
      </c>
      <c r="E8" s="4">
        <v>1.88</v>
      </c>
      <c r="F8" s="4">
        <v>1.88</v>
      </c>
      <c r="G8" s="2"/>
      <c r="H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1:27" s="4" customFormat="1" x14ac:dyDescent="0.3">
      <c r="A9" s="4">
        <f t="shared" si="0"/>
        <v>7</v>
      </c>
      <c r="B9" s="6" t="s">
        <v>12</v>
      </c>
      <c r="C9" s="6"/>
      <c r="D9" s="4">
        <v>2</v>
      </c>
      <c r="E9" s="4">
        <v>54.32</v>
      </c>
      <c r="F9" s="2">
        <f>D9*E9</f>
        <v>108.64</v>
      </c>
      <c r="G9" s="2"/>
      <c r="H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1:27" s="4" customFormat="1" x14ac:dyDescent="0.3">
      <c r="A10" s="4">
        <f t="shared" si="0"/>
        <v>8</v>
      </c>
      <c r="B10" s="5" t="s">
        <v>13</v>
      </c>
      <c r="C10" s="5"/>
      <c r="D10" s="4">
        <v>2</v>
      </c>
      <c r="F10" s="4">
        <v>4.9000000000000004</v>
      </c>
      <c r="G10" s="2"/>
      <c r="H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1:27" s="4" customFormat="1" x14ac:dyDescent="0.3">
      <c r="A11" s="4">
        <f t="shared" si="0"/>
        <v>9</v>
      </c>
      <c r="B11" s="6" t="s">
        <v>14</v>
      </c>
      <c r="C11" s="6"/>
      <c r="D11" s="4">
        <v>1</v>
      </c>
      <c r="E11" s="4">
        <v>46.2</v>
      </c>
      <c r="F11" s="2">
        <f>D11*E11</f>
        <v>46.2</v>
      </c>
      <c r="G11" s="2"/>
      <c r="H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1:27" s="2" customFormat="1" x14ac:dyDescent="0.3">
      <c r="A12" s="4">
        <f t="shared" si="0"/>
        <v>10</v>
      </c>
      <c r="B12" s="6" t="s">
        <v>15</v>
      </c>
      <c r="C12" s="6"/>
      <c r="D12" s="4">
        <v>1</v>
      </c>
      <c r="E12" s="4">
        <v>83.3</v>
      </c>
      <c r="F12" s="2">
        <f>D12*E12</f>
        <v>83.3</v>
      </c>
    </row>
    <row r="13" spans="1:27" s="2" customFormat="1" x14ac:dyDescent="0.3">
      <c r="A13" s="4">
        <f t="shared" si="0"/>
        <v>11</v>
      </c>
      <c r="B13" s="6" t="s">
        <v>16</v>
      </c>
      <c r="C13" s="6"/>
      <c r="D13" s="4">
        <v>1</v>
      </c>
      <c r="E13" s="4">
        <v>138</v>
      </c>
      <c r="F13" s="4">
        <v>138</v>
      </c>
    </row>
    <row r="14" spans="1:27" s="2" customFormat="1" x14ac:dyDescent="0.3">
      <c r="A14" s="4">
        <f t="shared" si="0"/>
        <v>12</v>
      </c>
      <c r="B14" s="6" t="s">
        <v>17</v>
      </c>
      <c r="C14" s="6"/>
      <c r="D14" s="4">
        <v>5</v>
      </c>
      <c r="E14" s="4"/>
      <c r="F14" s="2">
        <v>8.14</v>
      </c>
    </row>
    <row r="15" spans="1:27" s="2" customFormat="1" x14ac:dyDescent="0.3">
      <c r="A15" s="4">
        <f t="shared" si="0"/>
        <v>13</v>
      </c>
      <c r="B15" s="6" t="s">
        <v>18</v>
      </c>
      <c r="C15" s="6"/>
      <c r="D15" s="4">
        <v>2</v>
      </c>
      <c r="E15" s="4">
        <v>9.61</v>
      </c>
      <c r="F15" s="2">
        <f>D15*E15</f>
        <v>19.22</v>
      </c>
    </row>
    <row r="16" spans="1:27" s="2" customFormat="1" x14ac:dyDescent="0.3">
      <c r="A16" s="4">
        <f t="shared" si="0"/>
        <v>14</v>
      </c>
      <c r="B16" s="6" t="s">
        <v>19</v>
      </c>
      <c r="C16" s="6"/>
      <c r="D16" s="7">
        <v>1</v>
      </c>
      <c r="E16" s="4">
        <v>18</v>
      </c>
      <c r="F16" s="2">
        <v>18</v>
      </c>
      <c r="G16" s="8"/>
    </row>
    <row r="17" spans="1:6" s="2" customFormat="1" x14ac:dyDescent="0.3">
      <c r="A17" s="4">
        <f t="shared" si="0"/>
        <v>15</v>
      </c>
      <c r="B17" s="6" t="s">
        <v>20</v>
      </c>
      <c r="C17" s="6"/>
      <c r="D17" s="4">
        <v>1</v>
      </c>
      <c r="E17" s="4">
        <v>58.1</v>
      </c>
      <c r="F17" s="2">
        <v>58.1</v>
      </c>
    </row>
    <row r="18" spans="1:6" s="2" customFormat="1" x14ac:dyDescent="0.3">
      <c r="A18" s="4">
        <f t="shared" si="0"/>
        <v>16</v>
      </c>
      <c r="B18" s="9" t="s">
        <v>21</v>
      </c>
      <c r="C18" s="10"/>
      <c r="D18" s="4">
        <v>1</v>
      </c>
      <c r="E18" s="2">
        <v>12.4</v>
      </c>
      <c r="F18" s="2">
        <v>12.4</v>
      </c>
    </row>
    <row r="19" spans="1:6" x14ac:dyDescent="0.3">
      <c r="A19" s="4">
        <f t="shared" si="0"/>
        <v>17</v>
      </c>
      <c r="B19" s="9" t="s">
        <v>22</v>
      </c>
      <c r="C19" s="10"/>
      <c r="D19" s="4">
        <v>1</v>
      </c>
      <c r="E19" s="2">
        <v>16.899999999999999</v>
      </c>
      <c r="F19" s="2">
        <v>16.899999999999999</v>
      </c>
    </row>
    <row r="21" spans="1:6" x14ac:dyDescent="0.3">
      <c r="D21" s="6" t="s">
        <v>23</v>
      </c>
      <c r="E21" s="6"/>
      <c r="F21" s="2">
        <f>SUM(F3:F20)</f>
        <v>625.44999999999993</v>
      </c>
    </row>
  </sheetData>
  <mergeCells count="20">
    <mergeCell ref="B19:C19"/>
    <mergeCell ref="D21:E21"/>
    <mergeCell ref="B13:C13"/>
    <mergeCell ref="B14:C14"/>
    <mergeCell ref="B15:C15"/>
    <mergeCell ref="B16:C16"/>
    <mergeCell ref="B17:C17"/>
    <mergeCell ref="B18:C18"/>
    <mergeCell ref="B7:C7"/>
    <mergeCell ref="B8:C8"/>
    <mergeCell ref="B9:C9"/>
    <mergeCell ref="B10:C10"/>
    <mergeCell ref="B11:C11"/>
    <mergeCell ref="B12:C12"/>
    <mergeCell ref="A1:F1"/>
    <mergeCell ref="B2:C2"/>
    <mergeCell ref="B3:C3"/>
    <mergeCell ref="B4:C4"/>
    <mergeCell ref="B5:C5"/>
    <mergeCell ref="B6:C6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Melodic</dc:creator>
  <cp:lastModifiedBy>Yongwei Wang</cp:lastModifiedBy>
  <dcterms:created xsi:type="dcterms:W3CDTF">2015-06-05T18:19:34Z</dcterms:created>
  <dcterms:modified xsi:type="dcterms:W3CDTF">2025-12-16T05:34:06Z</dcterms:modified>
</cp:coreProperties>
</file>